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c71ecb2fc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 DATABASE" sheetId="1" r:id="Rbe49cbb4a7744eee"/>
    <x:sheet xmlns:r="http://schemas.openxmlformats.org/officeDocument/2006/relationships" name="IDEAL CUSTOMER PROFILE" sheetId="2" r:id="R3d8d11d03f5047f2"/>
    <x:sheet xmlns:r="http://schemas.openxmlformats.org/officeDocument/2006/relationships" name="LEAD QUALIFICATION" sheetId="3" r:id="R9f27cab3079e44d4"/>
    <x:sheet xmlns:r="http://schemas.openxmlformats.org/officeDocument/2006/relationships" name="SUMMARY DASHBOARD" sheetId="4" r:id="R205845de54ef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0182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8"/>
      <x:color rgb="FF7A4E00"/>
      <x:name val="Carlito"/>
    </x:font>
    <x:font>
      <x:b/>
      <x:sz val="17"/>
      <x:color rgb="FFFFFFFF"/>
      <x:name val="Carlito"/>
    </x:font>
    <x:font>
      <x:b/>
      <x:sz val="11"/>
      <x:color rgb="FFC8F31D"/>
      <x:name val="Carlito"/>
    </x:font>
    <x:font>
      <x:sz val="10"/>
      <x:color rgb="FF1F2937"/>
      <x:name val="Carlito"/>
    </x:font>
    <x:font>
      <x:b/>
      <x:sz val="11"/>
      <x:color rgb="FF101827"/>
      <x:name val="Carlito"/>
    </x:font>
    <x:font>
      <x:i/>
      <x:sz val="10"/>
      <x:color rgb="FF667085"/>
      <x:name val="Carlito"/>
    </x:font>
    <x:font>
      <x:b/>
      <x:sz val="9"/>
      <x:color rgb="FFC8F31D"/>
      <x:name val="Carlito"/>
    </x:font>
    <x:font>
      <x:b/>
      <x:sz val="26"/>
      <x:color rgb="FF10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C8F31D"/>
      </x:patternFill>
    </x:fill>
    <x:fill>
      <x:patternFill patternType="solid">
        <x:fgColor rgb="FF172238"/>
      </x:patternFill>
    </x:fill>
    <x:fill>
      <x:patternFill patternType="solid">
        <x:fgColor rgb="FFFFF2CC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200" fontId="4" fillId="6" borderId="0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200" fontId="4" fillId="6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/>
    <x:xf numFmtId="0" fontId="12" fillId="6" borderId="1" xfId="0" applyNumberFormat="1" applyFont="1" applyFill="1" applyBorder="1" applyAlignment="1">
      <x:alignment horizont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6e6fba128409a" /><Relationship Type="http://schemas.openxmlformats.org/officeDocument/2006/relationships/theme" Target="/xl/theme/theme1.xml" Id="Rc824cdefc6894b97" /><Relationship Type="http://schemas.openxmlformats.org/officeDocument/2006/relationships/sharedStrings" Target="/xl/sharedStrings.xml" Id="R8beffe032801436f" /><Relationship Type="http://schemas.openxmlformats.org/officeDocument/2006/relationships/worksheet" Target="/xl/worksheets/sheet1.xml" Id="Rbe49cbb4a7744eee" /><Relationship Type="http://schemas.openxmlformats.org/officeDocument/2006/relationships/worksheet" Target="/xl/worksheets/sheet2.xml" Id="R3d8d11d03f5047f2" /><Relationship Type="http://schemas.openxmlformats.org/officeDocument/2006/relationships/worksheet" Target="/xl/worksheets/sheet3.xml" Id="R9f27cab3079e44d4" /><Relationship Type="http://schemas.openxmlformats.org/officeDocument/2006/relationships/worksheet" Target="/xl/worksheets/sheet4.xml" Id="R205845de54ef4c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059c0810a541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Status Counts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'SUMMARY DASHBOARD'!$A$12:$A$15</c:f>
              <c:strCache>
                <c:ptCount val="0"/>
              </c:strCache>
            </c:strRef>
          </c:cat>
          <c:val>
            <c:numRef>
              <c:f>'SUMMARY DASHBOARD'!$B$12:$B$15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59c0810a541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spectDatabase" displayName="ProspectDatabase" ref="A4:P24" headerRowCount="1" totalsRowCount="0" totalsRowShown="0">
  <x:tableColumns count="16">
    <x:tableColumn id="1" name="Lead ID"/>
    <x:tableColumn id="2" name="Company Name"/>
    <x:tableColumn id="3" name="Industry"/>
    <x:tableColumn id="4" name="Company Website"/>
    <x:tableColumn id="5" name="Company LinkedIn URL"/>
    <x:tableColumn id="6" name="Company Size"/>
    <x:tableColumn id="7" name="Country"/>
    <x:tableColumn id="8" name="Target Decision-Maker Role"/>
    <x:tableColumn id="9" name="Professional Profile URL"/>
    <x:tableColumn id="10" name="Business Email"/>
    <x:tableColumn id="11" name="Research Source"/>
    <x:tableColumn id="12" name="Potential Business Need"/>
    <x:tableColumn id="13" name="ICP Fit Score (1–5)"/>
    <x:tableColumn id="14" name="Lead Status"/>
    <x:tableColumn id="15" name="Verification Status"/>
    <x:tableColumn id="16" name="Research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623ba2186947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3fe48b19c494919" /></Relationships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5" hidden="0" customWidth="1"/>
    <x:col min="4" max="4" width="28" hidden="0" customWidth="1"/>
    <x:col min="5" max="5" width="32" hidden="0" customWidth="1"/>
    <x:col min="6" max="6" width="18" hidden="0" customWidth="1"/>
    <x:col min="7" max="7" width="16" hidden="0" customWidth="1"/>
    <x:col min="8" max="8" width="24" hidden="0" customWidth="1"/>
    <x:col min="9" max="9" width="32" hidden="0" customWidth="1"/>
    <x:col min="10" max="10" width="31" hidden="0" customWidth="1"/>
    <x:col min="11" max="11" width="31" hidden="0" customWidth="1"/>
    <x:col min="12" max="12" width="36" hidden="0" customWidth="1"/>
    <x:col min="13" max="13" width="16" hidden="0" customWidth="1"/>
    <x:col min="14" max="14" width="22" hidden="0" customWidth="1"/>
    <x:col min="15" max="15" width="27" hidden="0" customWidth="1"/>
    <x:col min="16" max="16" width="48" hidden="0" customWidth="1"/>
  </x:cols>
  <x:sheetData>
    <x:row r="1" ht="34" customHeight="1">
      <x:c r="A1" s="5" t="str">
        <x:v>B2B PROSPECT RESEARCH DATABASE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6" customHeight="1">
      <x:c r="A2" s="13" t="str">
        <x:v>PORTFOLIO DEMO ONLY | 20 fictional records | All records are DEMO DATA — NOT VERIFIED | Not completed client research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42" customHeight="1">
      <x:c r="A4" s="22" t="str">
        <x:v>Lead ID</x:v>
      </x:c>
      <x:c r="B4" s="22" t="str">
        <x:v>Company Name</x:v>
      </x:c>
      <x:c r="C4" s="22" t="str">
        <x:v>Industry</x:v>
      </x:c>
      <x:c r="D4" s="22" t="str">
        <x:v>Company Website</x:v>
      </x:c>
      <x:c r="E4" s="22" t="str">
        <x:v>Company LinkedIn URL</x:v>
      </x:c>
      <x:c r="F4" s="22" t="str">
        <x:v>Company Size</x:v>
      </x:c>
      <x:c r="G4" s="22" t="str">
        <x:v>Country</x:v>
      </x:c>
      <x:c r="H4" s="22" t="str">
        <x:v>Target Decision-Maker Role</x:v>
      </x:c>
      <x:c r="I4" s="22" t="str">
        <x:v>Professional Profile URL</x:v>
      </x:c>
      <x:c r="J4" s="22" t="str">
        <x:v>Business Email</x:v>
      </x:c>
      <x:c r="K4" s="22" t="str">
        <x:v>Research Source</x:v>
      </x:c>
      <x:c r="L4" s="22" t="str">
        <x:v>Potential Business Need</x:v>
      </x:c>
      <x:c r="M4" s="22" t="str">
        <x:v>ICP Fit Score (1–5)</x:v>
      </x:c>
      <x:c r="N4" s="22" t="str">
        <x:v>Lead Status</x:v>
      </x:c>
      <x:c r="O4" s="22" t="str">
        <x:v>Verification Status</x:v>
      </x:c>
      <x:c r="P4" s="22" t="str">
        <x:v>Research Notes</x:v>
      </x:c>
    </x:row>
    <x:row r="5" ht="52" customHeight="1">
      <x:c r="A5" s="30" t="str">
        <x:v>L001</x:v>
      </x:c>
      <x:c r="B5" s="30" t="str">
        <x:v>Arcloom Metrics</x:v>
      </x:c>
      <x:c r="C5" s="30" t="str">
        <x:v>Product Analytics SaaS</x:v>
      </x:c>
      <x:c r="D5" s="30" t="str">
        <x:v>https://example.com/demo-01</x:v>
      </x:c>
      <x:c r="E5" s="30" t="str">
        <x:v>[Company LinkedIn page to research]</x:v>
      </x:c>
      <x:c r="F5" s="30" t="str">
        <x:v>2–10 employees</x:v>
      </x:c>
      <x:c r="G5" s="30" t="str">
        <x:v>United States</x:v>
      </x:c>
      <x:c r="H5" s="30" t="str">
        <x:v>Founder</x:v>
      </x:c>
      <x:c r="I5" s="30" t="str">
        <x:v>[Professional profile to research]</x:v>
      </x:c>
      <x:c r="J5" s="30" t="str">
        <x:v>[Public business email to verify]</x:v>
      </x:c>
      <x:c r="K5" s="30" t="str">
        <x:v>Demo placeholder — source not checked</x:v>
      </x:c>
      <x:c r="L5" s="30" t="str">
        <x:v>Website messaging clarity; social content support</x:v>
      </x:c>
      <x:c r="M5" s="46" t="n">
        <x:v>5</x:v>
      </x:c>
      <x:c r="N5" s="30" t="str">
        <x:v>Not Started</x:v>
      </x:c>
      <x:c r="O5" s="36" t="str">
        <x:v>DEMO DATA — NOT VERIFIED</x:v>
      </x:c>
      <x:c r="P5" s="30" t="str">
        <x:v>Fictional scenario only; no real company or contact researched. Score and need are illustrative, not evidence of purchase intent.</x:v>
      </x:c>
    </x:row>
    <x:row r="6" ht="52" customHeight="1">
      <x:c r="A6" s="42" t="str">
        <x:v>L002</x:v>
      </x:c>
      <x:c r="B6" s="42" t="str">
        <x:v>ByteBorough</x:v>
      </x:c>
      <x:c r="C6" s="42" t="str">
        <x:v>Developer Tools SaaS</x:v>
      </x:c>
      <x:c r="D6" s="42" t="str">
        <x:v>https://example.com/demo-02</x:v>
      </x:c>
      <x:c r="E6" s="42" t="str">
        <x:v>[Company LinkedIn page to research]</x:v>
      </x:c>
      <x:c r="F6" s="42" t="str">
        <x:v>11–50 employees</x:v>
      </x:c>
      <x:c r="G6" s="42" t="str">
        <x:v>United Kingdom</x:v>
      </x:c>
      <x:c r="H6" s="42" t="str">
        <x:v>Co-Founder</x:v>
      </x:c>
      <x:c r="I6" s="42" t="str">
        <x:v>[Professional profile to research]</x:v>
      </x:c>
      <x:c r="J6" s="42" t="str">
        <x:v>[Public business email to verify]</x:v>
      </x:c>
      <x:c r="K6" s="42" t="str">
        <x:v>Demo placeholder — source not checked</x:v>
      </x:c>
      <x:c r="L6" s="42" t="str">
        <x:v>Website redesign; product positioning</x:v>
      </x:c>
      <x:c r="M6" s="47" t="n">
        <x:v>4</x:v>
      </x:c>
      <x:c r="N6" s="42" t="str">
        <x:v>Research Required</x:v>
      </x:c>
      <x:c r="O6" s="36" t="str">
        <x:v>DEMO DATA — NOT VERIFIED</x:v>
      </x:c>
      <x:c r="P6" s="42" t="str">
        <x:v>Fictional scenario only; no real company or contact researched. Score and need are illustrative, not evidence of purchase intent.</x:v>
      </x:c>
    </x:row>
    <x:row r="7" ht="52" customHeight="1">
      <x:c r="A7" s="30" t="str">
        <x:v>L003</x:v>
      </x:c>
      <x:c r="B7" s="30" t="str">
        <x:v>QuantaNest</x:v>
      </x:c>
      <x:c r="C7" s="30" t="str">
        <x:v>Workflow Automation SaaS</x:v>
      </x:c>
      <x:c r="D7" s="30" t="str">
        <x:v>https://example.com/demo-03</x:v>
      </x:c>
      <x:c r="E7" s="30" t="str">
        <x:v>[Company LinkedIn page to research]</x:v>
      </x:c>
      <x:c r="F7" s="30" t="str">
        <x:v>2–10 employees</x:v>
      </x:c>
      <x:c r="G7" s="30" t="str">
        <x:v>Canada</x:v>
      </x:c>
      <x:c r="H7" s="30" t="str">
        <x:v>CEO</x:v>
      </x:c>
      <x:c r="I7" s="30" t="str">
        <x:v>[Professional profile to research]</x:v>
      </x:c>
      <x:c r="J7" s="30" t="str">
        <x:v>[Public business email to verify]</x:v>
      </x:c>
      <x:c r="K7" s="30" t="str">
        <x:v>Demo placeholder — source not checked</x:v>
      </x:c>
      <x:c r="L7" s="30" t="str">
        <x:v>Consistent thought-leadership content</x:v>
      </x:c>
      <x:c r="M7" s="46" t="n">
        <x:v>5</x:v>
      </x:c>
      <x:c r="N7" s="30" t="str">
        <x:v>ICP Review</x:v>
      </x:c>
      <x:c r="O7" s="36" t="str">
        <x:v>DEMO DATA — NOT VERIFIED</x:v>
      </x:c>
      <x:c r="P7" s="30" t="str">
        <x:v>Fictional scenario only; no real company or contact researched. Score and need are illustrative, not evidence of purchase intent.</x:v>
      </x:c>
    </x:row>
    <x:row r="8" ht="52" customHeight="1">
      <x:c r="A8" s="42" t="str">
        <x:v>L004</x:v>
      </x:c>
      <x:c r="B8" s="42" t="str">
        <x:v>LumaLedger</x:v>
      </x:c>
      <x:c r="C8" s="42" t="str">
        <x:v>Finance Operations SaaS</x:v>
      </x:c>
      <x:c r="D8" s="42" t="str">
        <x:v>https://example.com/demo-04</x:v>
      </x:c>
      <x:c r="E8" s="42" t="str">
        <x:v>[Company LinkedIn page to research]</x:v>
      </x:c>
      <x:c r="F8" s="42" t="str">
        <x:v>11–50 employees</x:v>
      </x:c>
      <x:c r="G8" s="42" t="str">
        <x:v>Australia</x:v>
      </x:c>
      <x:c r="H8" s="42" t="str">
        <x:v>Head of Marketing</x:v>
      </x:c>
      <x:c r="I8" s="42" t="str">
        <x:v>[Professional profile to research]</x:v>
      </x:c>
      <x:c r="J8" s="42" t="str">
        <x:v>[Public business email to verify]</x:v>
      </x:c>
      <x:c r="K8" s="42" t="str">
        <x:v>Demo placeholder — source not checked</x:v>
      </x:c>
      <x:c r="L8" s="42" t="str">
        <x:v>Landing-page refresh; social content</x:v>
      </x:c>
      <x:c r="M8" s="47" t="n">
        <x:v>4</x:v>
      </x:c>
      <x:c r="N8" s="42" t="str">
        <x:v>Verification Required</x:v>
      </x:c>
      <x:c r="O8" s="36" t="str">
        <x:v>DEMO DATA — NOT VERIFIED</x:v>
      </x:c>
      <x:c r="P8" s="42" t="str">
        <x:v>Fictional scenario only; no real company or contact researched. Score and need are illustrative, not evidence of purchase intent.</x:v>
      </x:c>
    </x:row>
    <x:row r="9" ht="52" customHeight="1">
      <x:c r="A9" s="30" t="str">
        <x:v>L005</x:v>
      </x:c>
      <x:c r="B9" s="30" t="str">
        <x:v>VectorSprig</x:v>
      </x:c>
      <x:c r="C9" s="30" t="str">
        <x:v>CRM SaaS</x:v>
      </x:c>
      <x:c r="D9" s="30" t="str">
        <x:v>https://example.com/demo-05</x:v>
      </x:c>
      <x:c r="E9" s="30" t="str">
        <x:v>[Company LinkedIn page to research]</x:v>
      </x:c>
      <x:c r="F9" s="30" t="str">
        <x:v>2–10 employees</x:v>
      </x:c>
      <x:c r="G9" s="30" t="str">
        <x:v>India</x:v>
      </x:c>
      <x:c r="H9" s="30" t="str">
        <x:v>Marketing Manager</x:v>
      </x:c>
      <x:c r="I9" s="30" t="str">
        <x:v>[Professional profile to research]</x:v>
      </x:c>
      <x:c r="J9" s="30" t="str">
        <x:v>[Public business email to verify]</x:v>
      </x:c>
      <x:c r="K9" s="30" t="str">
        <x:v>Demo placeholder — source not checked</x:v>
      </x:c>
      <x:c r="L9" s="30" t="str">
        <x:v>Clearer feature messaging; content calendar</x:v>
      </x:c>
      <x:c r="M9" s="46" t="n">
        <x:v>4</x:v>
      </x:c>
      <x:c r="N9" s="30" t="str">
        <x:v>Not Started</x:v>
      </x:c>
      <x:c r="O9" s="36" t="str">
        <x:v>DEMO DATA — NOT VERIFIED</x:v>
      </x:c>
      <x:c r="P9" s="30" t="str">
        <x:v>Fictional scenario only; no real company or contact researched. Score and need are illustrative, not evidence of purchase intent.</x:v>
      </x:c>
    </x:row>
    <x:row r="10" ht="52" customHeight="1">
      <x:c r="A10" s="42" t="str">
        <x:v>L006</x:v>
      </x:c>
      <x:c r="B10" s="42" t="str">
        <x:v>CloudMorrow</x:v>
      </x:c>
      <x:c r="C10" s="42" t="str">
        <x:v>Cloud Cost Management SaaS</x:v>
      </x:c>
      <x:c r="D10" s="42" t="str">
        <x:v>https://example.com/demo-06</x:v>
      </x:c>
      <x:c r="E10" s="42" t="str">
        <x:v>[Company LinkedIn page to research]</x:v>
      </x:c>
      <x:c r="F10" s="42" t="str">
        <x:v>11–50 employees</x:v>
      </x:c>
      <x:c r="G10" s="42" t="str">
        <x:v>United States</x:v>
      </x:c>
      <x:c r="H10" s="42" t="str">
        <x:v>Founder</x:v>
      </x:c>
      <x:c r="I10" s="42" t="str">
        <x:v>[Professional profile to research]</x:v>
      </x:c>
      <x:c r="J10" s="42" t="str">
        <x:v>[Public business email to verify]</x:v>
      </x:c>
      <x:c r="K10" s="42" t="str">
        <x:v>Demo placeholder — source not checked</x:v>
      </x:c>
      <x:c r="L10" s="42" t="str">
        <x:v>Website conversion copy; brand consistency</x:v>
      </x:c>
      <x:c r="M10" s="47" t="n">
        <x:v>5</x:v>
      </x:c>
      <x:c r="N10" s="42" t="str">
        <x:v>Research Required</x:v>
      </x:c>
      <x:c r="O10" s="36" t="str">
        <x:v>DEMO DATA — NOT VERIFIED</x:v>
      </x:c>
      <x:c r="P10" s="42" t="str">
        <x:v>Fictional scenario only; no real company or contact researched. Score and need are illustrative, not evidence of purchase intent.</x:v>
      </x:c>
    </x:row>
    <x:row r="11" ht="52" customHeight="1">
      <x:c r="A11" s="30" t="str">
        <x:v>L007</x:v>
      </x:c>
      <x:c r="B11" s="30" t="str">
        <x:v>OpsTrellis</x:v>
      </x:c>
      <x:c r="C11" s="30" t="str">
        <x:v>IT Operations SaaS</x:v>
      </x:c>
      <x:c r="D11" s="30" t="str">
        <x:v>https://example.com/demo-07</x:v>
      </x:c>
      <x:c r="E11" s="30" t="str">
        <x:v>[Company LinkedIn page to research]</x:v>
      </x:c>
      <x:c r="F11" s="30" t="str">
        <x:v>2–10 employees</x:v>
      </x:c>
      <x:c r="G11" s="30" t="str">
        <x:v>United Kingdom</x:v>
      </x:c>
      <x:c r="H11" s="30" t="str">
        <x:v>Co-Founder</x:v>
      </x:c>
      <x:c r="I11" s="30" t="str">
        <x:v>[Professional profile to research]</x:v>
      </x:c>
      <x:c r="J11" s="30" t="str">
        <x:v>[Public business email to verify]</x:v>
      </x:c>
      <x:c r="K11" s="30" t="str">
        <x:v>Demo placeholder — source not checked</x:v>
      </x:c>
      <x:c r="L11" s="30" t="str">
        <x:v>LinkedIn content and audience education</x:v>
      </x:c>
      <x:c r="M11" s="46" t="n">
        <x:v>4</x:v>
      </x:c>
      <x:c r="N11" s="30" t="str">
        <x:v>ICP Review</x:v>
      </x:c>
      <x:c r="O11" s="36" t="str">
        <x:v>DEMO DATA — NOT VERIFIED</x:v>
      </x:c>
      <x:c r="P11" s="30" t="str">
        <x:v>Fictional scenario only; no real company or contact researched. Score and need are illustrative, not evidence of purchase intent.</x:v>
      </x:c>
    </x:row>
    <x:row r="12" ht="52" customHeight="1">
      <x:c r="A12" s="42" t="str">
        <x:v>L008</x:v>
      </x:c>
      <x:c r="B12" s="42" t="str">
        <x:v>MetricMosaic</x:v>
      </x:c>
      <x:c r="C12" s="42" t="str">
        <x:v>Business Intelligence SaaS</x:v>
      </x:c>
      <x:c r="D12" s="42" t="str">
        <x:v>https://example.com/demo-08</x:v>
      </x:c>
      <x:c r="E12" s="42" t="str">
        <x:v>[Company LinkedIn page to research]</x:v>
      </x:c>
      <x:c r="F12" s="42" t="str">
        <x:v>11–50 employees</x:v>
      </x:c>
      <x:c r="G12" s="42" t="str">
        <x:v>Canada</x:v>
      </x:c>
      <x:c r="H12" s="42" t="str">
        <x:v>CEO</x:v>
      </x:c>
      <x:c r="I12" s="42" t="str">
        <x:v>[Professional profile to research]</x:v>
      </x:c>
      <x:c r="J12" s="42" t="str">
        <x:v>[Public business email to verify]</x:v>
      </x:c>
      <x:c r="K12" s="42" t="str">
        <x:v>Demo placeholder — source not checked</x:v>
      </x:c>
      <x:c r="L12" s="42" t="str">
        <x:v>Website redesign and product storytelling</x:v>
      </x:c>
      <x:c r="M12" s="47" t="n">
        <x:v>5</x:v>
      </x:c>
      <x:c r="N12" s="42" t="str">
        <x:v>Verification Required</x:v>
      </x:c>
      <x:c r="O12" s="36" t="str">
        <x:v>DEMO DATA — NOT VERIFIED</x:v>
      </x:c>
      <x:c r="P12" s="42" t="str">
        <x:v>Fictional scenario only; no real company or contact researched. Score and need are illustrative, not evidence of purchase intent.</x:v>
      </x:c>
    </x:row>
    <x:row r="13" ht="52" customHeight="1">
      <x:c r="A13" s="30" t="str">
        <x:v>L009</x:v>
      </x:c>
      <x:c r="B13" s="30" t="str">
        <x:v>Nimblytic</x:v>
      </x:c>
      <x:c r="C13" s="30" t="str">
        <x:v>Customer Success SaaS</x:v>
      </x:c>
      <x:c r="D13" s="30" t="str">
        <x:v>https://example.com/demo-09</x:v>
      </x:c>
      <x:c r="E13" s="30" t="str">
        <x:v>[Company LinkedIn page to research]</x:v>
      </x:c>
      <x:c r="F13" s="30" t="str">
        <x:v>2–10 employees</x:v>
      </x:c>
      <x:c r="G13" s="30" t="str">
        <x:v>Australia</x:v>
      </x:c>
      <x:c r="H13" s="30" t="str">
        <x:v>Head of Marketing</x:v>
      </x:c>
      <x:c r="I13" s="30" t="str">
        <x:v>[Professional profile to research]</x:v>
      </x:c>
      <x:c r="J13" s="30" t="str">
        <x:v>[Public business email to verify]</x:v>
      </x:c>
      <x:c r="K13" s="30" t="str">
        <x:v>Demo placeholder — source not checked</x:v>
      </x:c>
      <x:c r="L13" s="30" t="str">
        <x:v>Social media planning; case-study content</x:v>
      </x:c>
      <x:c r="M13" s="46" t="n">
        <x:v>4</x:v>
      </x:c>
      <x:c r="N13" s="30" t="str">
        <x:v>Not Started</x:v>
      </x:c>
      <x:c r="O13" s="36" t="str">
        <x:v>DEMO DATA — NOT VERIFIED</x:v>
      </x:c>
      <x:c r="P13" s="30" t="str">
        <x:v>Fictional scenario only; no real company or contact researched. Score and need are illustrative, not evidence of purchase intent.</x:v>
      </x:c>
    </x:row>
    <x:row r="14" ht="52" customHeight="1">
      <x:c r="A14" s="42" t="str">
        <x:v>L010</x:v>
      </x:c>
      <x:c r="B14" s="42" t="str">
        <x:v>NorthPeak Flow</x:v>
      </x:c>
      <x:c r="C14" s="42" t="str">
        <x:v>Project Management SaaS</x:v>
      </x:c>
      <x:c r="D14" s="42" t="str">
        <x:v>https://example.com/demo-10</x:v>
      </x:c>
      <x:c r="E14" s="42" t="str">
        <x:v>[Company LinkedIn page to research]</x:v>
      </x:c>
      <x:c r="F14" s="42" t="str">
        <x:v>11–50 employees</x:v>
      </x:c>
      <x:c r="G14" s="42" t="str">
        <x:v>India</x:v>
      </x:c>
      <x:c r="H14" s="42" t="str">
        <x:v>Marketing Manager</x:v>
      </x:c>
      <x:c r="I14" s="42" t="str">
        <x:v>[Professional profile to research]</x:v>
      </x:c>
      <x:c r="J14" s="42" t="str">
        <x:v>[Public business email to verify]</x:v>
      </x:c>
      <x:c r="K14" s="42" t="str">
        <x:v>Demo placeholder — source not checked</x:v>
      </x:c>
      <x:c r="L14" s="42" t="str">
        <x:v>Landing page clarity; social content support</x:v>
      </x:c>
      <x:c r="M14" s="47" t="n">
        <x:v>4</x:v>
      </x:c>
      <x:c r="N14" s="42" t="str">
        <x:v>Research Required</x:v>
      </x:c>
      <x:c r="O14" s="36" t="str">
        <x:v>DEMO DATA — NOT VERIFIED</x:v>
      </x:c>
      <x:c r="P14" s="42" t="str">
        <x:v>Fictional scenario only; no real company or contact researched. Score and need are illustrative, not evidence of purchase intent.</x:v>
      </x:c>
    </x:row>
    <x:row r="15" ht="52" customHeight="1">
      <x:c r="A15" s="30" t="str">
        <x:v>L011</x:v>
      </x:c>
      <x:c r="B15" s="30" t="str">
        <x:v>SaaSail Studio</x:v>
      </x:c>
      <x:c r="C15" s="30" t="str">
        <x:v>No-Code SaaS</x:v>
      </x:c>
      <x:c r="D15" s="30" t="str">
        <x:v>https://example.com/demo-11</x:v>
      </x:c>
      <x:c r="E15" s="30" t="str">
        <x:v>[Company LinkedIn page to research]</x:v>
      </x:c>
      <x:c r="F15" s="30" t="str">
        <x:v>2–10 employees</x:v>
      </x:c>
      <x:c r="G15" s="30" t="str">
        <x:v>United States</x:v>
      </x:c>
      <x:c r="H15" s="30" t="str">
        <x:v>Founder</x:v>
      </x:c>
      <x:c r="I15" s="30" t="str">
        <x:v>[Professional profile to research]</x:v>
      </x:c>
      <x:c r="J15" s="30" t="str">
        <x:v>[Public business email to verify]</x:v>
      </x:c>
      <x:c r="K15" s="30" t="str">
        <x:v>Demo placeholder — source not checked</x:v>
      </x:c>
      <x:c r="L15" s="30" t="str">
        <x:v>Brand messaging and website polish</x:v>
      </x:c>
      <x:c r="M15" s="46" t="n">
        <x:v>5</x:v>
      </x:c>
      <x:c r="N15" s="30" t="str">
        <x:v>ICP Review</x:v>
      </x:c>
      <x:c r="O15" s="36" t="str">
        <x:v>DEMO DATA — NOT VERIFIED</x:v>
      </x:c>
      <x:c r="P15" s="30" t="str">
        <x:v>Fictional scenario only; no real company or contact researched. Score and need are illustrative, not evidence of purchase intent.</x:v>
      </x:c>
    </x:row>
    <x:row r="16" ht="52" customHeight="1">
      <x:c r="A16" s="42" t="str">
        <x:v>L012</x:v>
      </x:c>
      <x:c r="B16" s="42" t="str">
        <x:v>EmberStack</x:v>
      </x:c>
      <x:c r="C16" s="42" t="str">
        <x:v>API Management SaaS</x:v>
      </x:c>
      <x:c r="D16" s="42" t="str">
        <x:v>https://example.com/demo-12</x:v>
      </x:c>
      <x:c r="E16" s="42" t="str">
        <x:v>[Company LinkedIn page to research]</x:v>
      </x:c>
      <x:c r="F16" s="42" t="str">
        <x:v>11–50 employees</x:v>
      </x:c>
      <x:c r="G16" s="42" t="str">
        <x:v>United Kingdom</x:v>
      </x:c>
      <x:c r="H16" s="42" t="str">
        <x:v>Co-Founder</x:v>
      </x:c>
      <x:c r="I16" s="42" t="str">
        <x:v>[Professional profile to research]</x:v>
      </x:c>
      <x:c r="J16" s="42" t="str">
        <x:v>[Public business email to verify]</x:v>
      </x:c>
      <x:c r="K16" s="42" t="str">
        <x:v>Demo placeholder — source not checked</x:v>
      </x:c>
      <x:c r="L16" s="42" t="str">
        <x:v>Technical content repurposing; LinkedIn presence</x:v>
      </x:c>
      <x:c r="M16" s="47" t="n">
        <x:v>4</x:v>
      </x:c>
      <x:c r="N16" s="42" t="str">
        <x:v>Verification Required</x:v>
      </x:c>
      <x:c r="O16" s="36" t="str">
        <x:v>DEMO DATA — NOT VERIFIED</x:v>
      </x:c>
      <x:c r="P16" s="42" t="str">
        <x:v>Fictional scenario only; no real company or contact researched. Score and need are illustrative, not evidence of purchase intent.</x:v>
      </x:c>
    </x:row>
    <x:row r="17" ht="52" customHeight="1">
      <x:c r="A17" s="30" t="str">
        <x:v>L013</x:v>
      </x:c>
      <x:c r="B17" s="30" t="str">
        <x:v>Infranook</x:v>
      </x:c>
      <x:c r="C17" s="30" t="str">
        <x:v>Infrastructure Monitoring SaaS</x:v>
      </x:c>
      <x:c r="D17" s="30" t="str">
        <x:v>https://example.com/demo-13</x:v>
      </x:c>
      <x:c r="E17" s="30" t="str">
        <x:v>[Company LinkedIn page to research]</x:v>
      </x:c>
      <x:c r="F17" s="30" t="str">
        <x:v>2–10 employees</x:v>
      </x:c>
      <x:c r="G17" s="30" t="str">
        <x:v>Canada</x:v>
      </x:c>
      <x:c r="H17" s="30" t="str">
        <x:v>CEO</x:v>
      </x:c>
      <x:c r="I17" s="30" t="str">
        <x:v>[Professional profile to research]</x:v>
      </x:c>
      <x:c r="J17" s="30" t="str">
        <x:v>[Public business email to verify]</x:v>
      </x:c>
      <x:c r="K17" s="30" t="str">
        <x:v>Demo placeholder — source not checked</x:v>
      </x:c>
      <x:c r="L17" s="30" t="str">
        <x:v>Website refresh; simplified product narrative</x:v>
      </x:c>
      <x:c r="M17" s="46" t="n">
        <x:v>4</x:v>
      </x:c>
      <x:c r="N17" s="30" t="str">
        <x:v>Not Started</x:v>
      </x:c>
      <x:c r="O17" s="36" t="str">
        <x:v>DEMO DATA — NOT VERIFIED</x:v>
      </x:c>
      <x:c r="P17" s="30" t="str">
        <x:v>Fictional scenario only; no real company or contact researched. Score and need are illustrative, not evidence of purchase intent.</x:v>
      </x:c>
    </x:row>
    <x:row r="18" ht="52" customHeight="1">
      <x:c r="A18" s="42" t="str">
        <x:v>L014</x:v>
      </x:c>
      <x:c r="B18" s="42" t="str">
        <x:v>LoopHarbor</x:v>
      </x:c>
      <x:c r="C18" s="42" t="str">
        <x:v>Subscription Billing SaaS</x:v>
      </x:c>
      <x:c r="D18" s="42" t="str">
        <x:v>https://example.com/demo-14</x:v>
      </x:c>
      <x:c r="E18" s="42" t="str">
        <x:v>[Company LinkedIn page to research]</x:v>
      </x:c>
      <x:c r="F18" s="42" t="str">
        <x:v>11–50 employees</x:v>
      </x:c>
      <x:c r="G18" s="42" t="str">
        <x:v>Australia</x:v>
      </x:c>
      <x:c r="H18" s="42" t="str">
        <x:v>Head of Marketing</x:v>
      </x:c>
      <x:c r="I18" s="42" t="str">
        <x:v>[Professional profile to research]</x:v>
      </x:c>
      <x:c r="J18" s="42" t="str">
        <x:v>[Public business email to verify]</x:v>
      </x:c>
      <x:c r="K18" s="42" t="str">
        <x:v>Demo placeholder — source not checked</x:v>
      </x:c>
      <x:c r="L18" s="42" t="str">
        <x:v>Content strategy and landing-page updates</x:v>
      </x:c>
      <x:c r="M18" s="47" t="n">
        <x:v>5</x:v>
      </x:c>
      <x:c r="N18" s="42" t="str">
        <x:v>Research Required</x:v>
      </x:c>
      <x:c r="O18" s="36" t="str">
        <x:v>DEMO DATA — NOT VERIFIED</x:v>
      </x:c>
      <x:c r="P18" s="42" t="str">
        <x:v>Fictional scenario only; no real company or contact researched. Score and need are illustrative, not evidence of purchase intent.</x:v>
      </x:c>
    </x:row>
    <x:row r="19" ht="52" customHeight="1">
      <x:c r="A19" s="30" t="str">
        <x:v>L015</x:v>
      </x:c>
      <x:c r="B19" s="30" t="str">
        <x:v>PrismLattice</x:v>
      </x:c>
      <x:c r="C19" s="30" t="str">
        <x:v>Data Governance SaaS</x:v>
      </x:c>
      <x:c r="D19" s="30" t="str">
        <x:v>https://example.com/demo-15</x:v>
      </x:c>
      <x:c r="E19" s="30" t="str">
        <x:v>[Company LinkedIn page to research]</x:v>
      </x:c>
      <x:c r="F19" s="30" t="str">
        <x:v>2–10 employees</x:v>
      </x:c>
      <x:c r="G19" s="30" t="str">
        <x:v>India</x:v>
      </x:c>
      <x:c r="H19" s="30" t="str">
        <x:v>Marketing Manager</x:v>
      </x:c>
      <x:c r="I19" s="30" t="str">
        <x:v>[Professional profile to research]</x:v>
      </x:c>
      <x:c r="J19" s="30" t="str">
        <x:v>[Public business email to verify]</x:v>
      </x:c>
      <x:c r="K19" s="30" t="str">
        <x:v>Demo placeholder — source not checked</x:v>
      </x:c>
      <x:c r="L19" s="30" t="str">
        <x:v>Social media consistency; product education</x:v>
      </x:c>
      <x:c r="M19" s="46" t="n">
        <x:v>3</x:v>
      </x:c>
      <x:c r="N19" s="30" t="str">
        <x:v>ICP Review</x:v>
      </x:c>
      <x:c r="O19" s="36" t="str">
        <x:v>DEMO DATA — NOT VERIFIED</x:v>
      </x:c>
      <x:c r="P19" s="30" t="str">
        <x:v>Fictional scenario only; no real company or contact researched. Score and need are illustrative, not evidence of purchase intent.</x:v>
      </x:c>
    </x:row>
    <x:row r="20" ht="52" customHeight="1">
      <x:c r="A20" s="42" t="str">
        <x:v>L016</x:v>
      </x:c>
      <x:c r="B20" s="42" t="str">
        <x:v>CobaltKite</x:v>
      </x:c>
      <x:c r="C20" s="42" t="str">
        <x:v>Security Compliance SaaS</x:v>
      </x:c>
      <x:c r="D20" s="42" t="str">
        <x:v>https://example.com/demo-16</x:v>
      </x:c>
      <x:c r="E20" s="42" t="str">
        <x:v>[Company LinkedIn page to research]</x:v>
      </x:c>
      <x:c r="F20" s="42" t="str">
        <x:v>11–50 employees</x:v>
      </x:c>
      <x:c r="G20" s="42" t="str">
        <x:v>United States</x:v>
      </x:c>
      <x:c r="H20" s="42" t="str">
        <x:v>Founder</x:v>
      </x:c>
      <x:c r="I20" s="42" t="str">
        <x:v>[Professional profile to research]</x:v>
      </x:c>
      <x:c r="J20" s="42" t="str">
        <x:v>[Public business email to verify]</x:v>
      </x:c>
      <x:c r="K20" s="42" t="str">
        <x:v>Demo placeholder — source not checked</x:v>
      </x:c>
      <x:c r="L20" s="42" t="str">
        <x:v>Website design and trust-building content</x:v>
      </x:c>
      <x:c r="M20" s="47" t="n">
        <x:v>5</x:v>
      </x:c>
      <x:c r="N20" s="42" t="str">
        <x:v>Verification Required</x:v>
      </x:c>
      <x:c r="O20" s="36" t="str">
        <x:v>DEMO DATA — NOT VERIFIED</x:v>
      </x:c>
      <x:c r="P20" s="42" t="str">
        <x:v>Fictional scenario only; no real company or contact researched. Score and need are illustrative, not evidence of purchase intent.</x:v>
      </x:c>
    </x:row>
    <x:row r="21" ht="52" customHeight="1">
      <x:c r="A21" s="30" t="str">
        <x:v>L017</x:v>
      </x:c>
      <x:c r="B21" s="30" t="str">
        <x:v>SignalFern</x:v>
      </x:c>
      <x:c r="C21" s="30" t="str">
        <x:v>Sales Enablement SaaS</x:v>
      </x:c>
      <x:c r="D21" s="30" t="str">
        <x:v>https://example.com/demo-17</x:v>
      </x:c>
      <x:c r="E21" s="30" t="str">
        <x:v>[Company LinkedIn page to research]</x:v>
      </x:c>
      <x:c r="F21" s="30" t="str">
        <x:v>2–10 employees</x:v>
      </x:c>
      <x:c r="G21" s="30" t="str">
        <x:v>United Kingdom</x:v>
      </x:c>
      <x:c r="H21" s="30" t="str">
        <x:v>Co-Founder</x:v>
      </x:c>
      <x:c r="I21" s="30" t="str">
        <x:v>[Professional profile to research]</x:v>
      </x:c>
      <x:c r="J21" s="30" t="str">
        <x:v>[Public business email to verify]</x:v>
      </x:c>
      <x:c r="K21" s="30" t="str">
        <x:v>Demo placeholder — source not checked</x:v>
      </x:c>
      <x:c r="L21" s="30" t="str">
        <x:v>Clearer audience messaging; LinkedIn content</x:v>
      </x:c>
      <x:c r="M21" s="46" t="n">
        <x:v>4</x:v>
      </x:c>
      <x:c r="N21" s="30" t="str">
        <x:v>Not Started</x:v>
      </x:c>
      <x:c r="O21" s="36" t="str">
        <x:v>DEMO DATA — NOT VERIFIED</x:v>
      </x:c>
      <x:c r="P21" s="30" t="str">
        <x:v>Fictional scenario only; no real company or contact researched. Score and need are illustrative, not evidence of purchase intent.</x:v>
      </x:c>
    </x:row>
    <x:row r="22" ht="52" customHeight="1">
      <x:c r="A22" s="42" t="str">
        <x:v>L018</x:v>
      </x:c>
      <x:c r="B22" s="42" t="str">
        <x:v>SprintQuarry</x:v>
      </x:c>
      <x:c r="C22" s="42" t="str">
        <x:v>QA Testing SaaS</x:v>
      </x:c>
      <x:c r="D22" s="42" t="str">
        <x:v>https://example.com/demo-18</x:v>
      </x:c>
      <x:c r="E22" s="42" t="str">
        <x:v>[Company LinkedIn page to research]</x:v>
      </x:c>
      <x:c r="F22" s="42" t="str">
        <x:v>11–50 employees</x:v>
      </x:c>
      <x:c r="G22" s="42" t="str">
        <x:v>Canada</x:v>
      </x:c>
      <x:c r="H22" s="42" t="str">
        <x:v>CEO</x:v>
      </x:c>
      <x:c r="I22" s="42" t="str">
        <x:v>[Professional profile to research]</x:v>
      </x:c>
      <x:c r="J22" s="42" t="str">
        <x:v>[Public business email to verify]</x:v>
      </x:c>
      <x:c r="K22" s="42" t="str">
        <x:v>Demo placeholder — source not checked</x:v>
      </x:c>
      <x:c r="L22" s="42" t="str">
        <x:v>Product messaging and social content</x:v>
      </x:c>
      <x:c r="M22" s="47" t="n">
        <x:v>4</x:v>
      </x:c>
      <x:c r="N22" s="42" t="str">
        <x:v>Research Required</x:v>
      </x:c>
      <x:c r="O22" s="36" t="str">
        <x:v>DEMO DATA — NOT VERIFIED</x:v>
      </x:c>
      <x:c r="P22" s="42" t="str">
        <x:v>Fictional scenario only; no real company or contact researched. Score and need are illustrative, not evidence of purchase intent.</x:v>
      </x:c>
    </x:row>
    <x:row r="23" ht="52" customHeight="1">
      <x:c r="A23" s="30" t="str">
        <x:v>L019</x:v>
      </x:c>
      <x:c r="B23" s="30" t="str">
        <x:v>AtlasMint</x:v>
      </x:c>
      <x:c r="C23" s="30" t="str">
        <x:v>Procurement SaaS</x:v>
      </x:c>
      <x:c r="D23" s="30" t="str">
        <x:v>https://example.com/demo-19</x:v>
      </x:c>
      <x:c r="E23" s="30" t="str">
        <x:v>[Company LinkedIn page to research]</x:v>
      </x:c>
      <x:c r="F23" s="30" t="str">
        <x:v>2–10 employees</x:v>
      </x:c>
      <x:c r="G23" s="30" t="str">
        <x:v>Australia</x:v>
      </x:c>
      <x:c r="H23" s="30" t="str">
        <x:v>Head of Marketing</x:v>
      </x:c>
      <x:c r="I23" s="30" t="str">
        <x:v>[Professional profile to research]</x:v>
      </x:c>
      <x:c r="J23" s="30" t="str">
        <x:v>[Public business email to verify]</x:v>
      </x:c>
      <x:c r="K23" s="30" t="str">
        <x:v>Demo placeholder — source not checked</x:v>
      </x:c>
      <x:c r="L23" s="30" t="str">
        <x:v>Website conversion improvement; content planning</x:v>
      </x:c>
      <x:c r="M23" s="46" t="n">
        <x:v>5</x:v>
      </x:c>
      <x:c r="N23" s="30" t="str">
        <x:v>ICP Review</x:v>
      </x:c>
      <x:c r="O23" s="36" t="str">
        <x:v>DEMO DATA — NOT VERIFIED</x:v>
      </x:c>
      <x:c r="P23" s="30" t="str">
        <x:v>Fictional scenario only; no real company or contact researched. Score and need are illustrative, not evidence of purchase intent.</x:v>
      </x:c>
    </x:row>
    <x:row r="24" ht="52" customHeight="1">
      <x:c r="A24" s="42" t="str">
        <x:v>L020</x:v>
      </x:c>
      <x:c r="B24" s="42" t="str">
        <x:v>CoralByte</x:v>
      </x:c>
      <x:c r="C24" s="42" t="str">
        <x:v>Data Integration SaaS</x:v>
      </x:c>
      <x:c r="D24" s="42" t="str">
        <x:v>https://example.com/demo-20</x:v>
      </x:c>
      <x:c r="E24" s="42" t="str">
        <x:v>[Company LinkedIn page to research]</x:v>
      </x:c>
      <x:c r="F24" s="42" t="str">
        <x:v>11–50 employees</x:v>
      </x:c>
      <x:c r="G24" s="42" t="str">
        <x:v>India</x:v>
      </x:c>
      <x:c r="H24" s="42" t="str">
        <x:v>Marketing Manager</x:v>
      </x:c>
      <x:c r="I24" s="42" t="str">
        <x:v>[Professional profile to research]</x:v>
      </x:c>
      <x:c r="J24" s="42" t="str">
        <x:v>[Public business email to verify]</x:v>
      </x:c>
      <x:c r="K24" s="42" t="str">
        <x:v>Demo placeholder — source not checked</x:v>
      </x:c>
      <x:c r="L24" s="42" t="str">
        <x:v>Website positioning; consistent brand presence</x:v>
      </x:c>
      <x:c r="M24" s="47" t="n">
        <x:v>4</x:v>
      </x:c>
      <x:c r="N24" s="42" t="str">
        <x:v>Verification Required</x:v>
      </x:c>
      <x:c r="O24" s="36" t="str">
        <x:v>DEMO DATA — NOT VERIFIED</x:v>
      </x:c>
      <x:c r="P24" s="42" t="str">
        <x:v>Fictional scenario only; no real company or contact researched. Score and need are illustrative, not evidence of purchase intent.</x:v>
      </x:c>
    </x:row>
  </x:sheetData>
  <x:mergeCells>
    <x:mergeCell ref="A1:P1"/>
    <x:mergeCell ref="A2:P2"/>
  </x:mergeCells>
  <x:dataValidations count="2">
    <x:dataValidation type="list" sqref="M5:M24">
      <x:formula1>"1,2,3,4,5"</x:formula1>
    </x:dataValidation>
    <x:dataValidation type="list" sqref="N5:N24">
      <x:formula1>"Not Started,Research Required,ICP Review,Verification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623ba21869476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51" t="str">
        <x:v>IDEAL CUSTOMER PROFILE | NORTHFRAME STUDIO</x:v>
      </x:c>
      <x:c r="B1" s="51"/>
      <x:c r="C1" s="51"/>
      <x:c r="D1" s="51"/>
      <x:c r="E1" s="51"/>
      <x:c r="F1" s="51"/>
    </x:row>
    <x:row r="2" ht="34" customHeight="1">
      <x:c r="A2" s="13" t="str">
        <x:v>Targeting guide for a fictional website design and social media service provider. Research recommendations are not evidence that any sample company qualifies.</x:v>
      </x:c>
      <x:c r="B2" s="13"/>
      <x:c r="C2" s="13"/>
      <x:c r="D2" s="13"/>
      <x:c r="E2" s="13"/>
      <x:c r="F2" s="13"/>
    </x:row>
    <x:row r="4" ht="24" customHeight="1">
      <x:c r="A4" s="55" t="str">
        <x:v>TARGET CUSTOMER PROFILE</x:v>
      </x:c>
      <x:c r="B4" s="55"/>
      <x:c r="C4" s="55"/>
      <x:c r="D4" s="55"/>
      <x:c r="E4" s="55"/>
      <x:c r="F4" s="55"/>
    </x:row>
    <x:row r="5" ht="40" customHeight="1">
      <x:c r="A5" s="61" t="str">
        <x:v>Target industries</x:v>
      </x:c>
      <x:c r="B5" s="61"/>
      <x:c r="C5" s="68" t="str">
        <x:v>B2B SaaS across workflow automation, analytics, developer tools, CRM, IT operations, finance operations, security, sales enablement and adjacent software categories.</x:v>
      </x:c>
      <x:c r="D5" s="68"/>
      <x:c r="E5" s="68"/>
      <x:c r="F5" s="68"/>
    </x:row>
    <x:row r="6" ht="40" customHeight="1">
      <x:c r="A6" s="61" t="str">
        <x:v>Preferred company size</x:v>
      </x:c>
      <x:c r="B6" s="61"/>
      <x:c r="C6" s="68" t="str">
        <x:v>Small businesses and early-stage startups; illustrative range of 1–50 employees.</x:v>
      </x:c>
      <x:c r="D6" s="68"/>
      <x:c r="E6" s="68"/>
      <x:c r="F6" s="68"/>
    </x:row>
    <x:row r="7" ht="40" customHeight="1">
      <x:c r="A7" s="61" t="str">
        <x:v>Relevant decision-maker roles</x:v>
      </x:c>
      <x:c r="B7" s="61"/>
      <x:c r="C7" s="68" t="str">
        <x:v>Founder, Co-Founder, CEO, Head of Marketing, Marketing Manager.</x:v>
      </x:c>
      <x:c r="D7" s="68"/>
      <x:c r="E7" s="68"/>
      <x:c r="F7" s="68"/>
    </x:row>
    <x:row r="8" ht="40" customHeight="1">
      <x:c r="A8" s="61" t="str">
        <x:v>Potential business needs</x:v>
      </x:c>
      <x:c r="B8" s="61"/>
      <x:c r="C8" s="68" t="str">
        <x:v>Website redesign, clearer product messaging, better landing-page copy, consistent social media content, content planning or marketing support.</x:v>
      </x:c>
      <x:c r="D8" s="68"/>
      <x:c r="E8" s="68"/>
      <x:c r="F8" s="68"/>
    </x:row>
    <x:row r="10" ht="24" customHeight="1">
      <x:c r="A10" s="55" t="str">
        <x:v>POSITIVE QUALIFICATION SIGNALS</x:v>
      </x:c>
      <x:c r="B10" s="55"/>
      <x:c r="C10" s="55"/>
      <x:c r="D10" s="55"/>
      <x:c r="E10" s="55"/>
      <x:c r="F10" s="55"/>
    </x:row>
    <x:row r="11" ht="54" customHeight="1">
      <x:c r="A11" s="61" t="str">
        <x:v>Useful signals to verify</x:v>
      </x:c>
      <x:c r="B11" s="61"/>
      <x:c r="C11" s="68" t="str">
        <x:v>A dated public announcement of a product launch; an unclear or outdated website; inconsistent public social publishing; a recent repositioning; an open marketing role; or explicit public discussion of a relevant challenge.</x:v>
      </x:c>
      <x:c r="D11" s="68"/>
      <x:c r="E11" s="68"/>
      <x:c r="F11" s="68"/>
    </x:row>
    <x:row r="12" ht="40" customHeight="1">
      <x:c r="A12" s="61" t="str">
        <x:v>Evidence standard</x:v>
      </x:c>
      <x:c r="B12" s="61"/>
      <x:c r="C12" s="68" t="str">
        <x:v>Record the exact public source URL, page title, observation date and short factual note. Distinguish observed evidence from an analyst hypothesis.</x:v>
      </x:c>
      <x:c r="D12" s="68"/>
      <x:c r="E12" s="68"/>
      <x:c r="F12" s="68"/>
    </x:row>
    <x:row r="13" ht="40" customHeight="1">
      <x:c r="A13" s="61" t="str">
        <x:v>Decision-maker relevance</x:v>
      </x:c>
      <x:c r="B13" s="61"/>
      <x:c r="C13" s="68" t="str">
        <x:v>Confirm the current role from a public professional or company source; do not infer the identity of a person from a job title alone.</x:v>
      </x:c>
      <x:c r="D13" s="68"/>
      <x:c r="E13" s="68"/>
      <x:c r="F13" s="68"/>
    </x:row>
    <x:row r="15" ht="24" customHeight="1">
      <x:c r="A15" s="55" t="str">
        <x:v>DISQUALIFICATION CRITERIA</x:v>
      </x:c>
      <x:c r="B15" s="55"/>
      <x:c r="C15" s="55"/>
      <x:c r="D15" s="55"/>
      <x:c r="E15" s="55"/>
      <x:c r="F15" s="55"/>
    </x:row>
    <x:row r="16" ht="40" customHeight="1">
      <x:c r="A16" s="61" t="str">
        <x:v>Poor industry fit</x:v>
      </x:c>
      <x:c r="B16" s="61"/>
      <x:c r="C16" s="68" t="str">
        <x:v>Consumer-only products, unrelated local businesses, agencies selling the same core service, or companies with no clear B2B software product.</x:v>
      </x:c>
      <x:c r="D16" s="68"/>
      <x:c r="E16" s="68"/>
      <x:c r="F16" s="68"/>
    </x:row>
    <x:row r="17" ht="40" customHeight="1">
      <x:c r="A17" s="61" t="str">
        <x:v>Poor size / scope fit</x:v>
      </x:c>
      <x:c r="B17" s="61"/>
      <x:c r="C17" s="68" t="str">
        <x:v>Enterprise organizations outside the intended service scope, dormant projects, or companies without a plausible marketing need.</x:v>
      </x:c>
      <x:c r="D17" s="68"/>
      <x:c r="E17" s="68"/>
      <x:c r="F17" s="68"/>
    </x:row>
    <x:row r="18" ht="40" customHeight="1">
      <x:c r="A18" s="61" t="str">
        <x:v>Insufficient evidence</x:v>
      </x:c>
      <x:c r="B18" s="61"/>
      <x:c r="C18" s="68" t="str">
        <x:v>No reliable public company presence, contradictory company information, or no legitimate public business contact route. Keep as unqualified until resolved.</x:v>
      </x:c>
      <x:c r="D18" s="68"/>
      <x:c r="E18" s="68"/>
      <x:c r="F18" s="68"/>
    </x:row>
    <x:row r="20" ht="24" customHeight="1">
      <x:c r="A20" s="55" t="str">
        <x:v>RECOMMENDED RESEARCH SOURCES</x:v>
      </x:c>
      <x:c r="B20" s="55"/>
      <x:c r="C20" s="55"/>
      <x:c r="D20" s="55"/>
      <x:c r="E20" s="55"/>
      <x:c r="F20" s="55"/>
    </x:row>
    <x:row r="21" ht="40" customHeight="1">
      <x:c r="A21" s="61" t="str">
        <x:v>Company-owned sources</x:v>
      </x:c>
      <x:c r="B21" s="61"/>
      <x:c r="C21" s="68" t="str">
        <x:v>Official company website, product pages, blog, case studies, newsroom and official social profiles.</x:v>
      </x:c>
      <x:c r="D21" s="68"/>
      <x:c r="E21" s="68"/>
      <x:c r="F21" s="68"/>
    </x:row>
    <x:row r="22" ht="40" customHeight="1">
      <x:c r="A22" s="61" t="str">
        <x:v>Professional sources</x:v>
      </x:c>
      <x:c r="B22" s="61"/>
      <x:c r="C22" s="68" t="str">
        <x:v>Public company LinkedIn page and public professional profile pages, subject to platform terms and applicable rules.</x:v>
      </x:c>
      <x:c r="D22" s="68"/>
      <x:c r="E22" s="68"/>
      <x:c r="F22" s="68"/>
    </x:row>
    <x:row r="23" ht="40" customHeight="1">
      <x:c r="A23" s="61" t="str">
        <x:v>Context sources</x:v>
      </x:c>
      <x:c r="B23" s="61"/>
      <x:c r="C23" s="68" t="str">
        <x:v>Public startup directories, reputable industry directories, public job listings, and company announcements. Save source URLs in the research log.</x:v>
      </x:c>
      <x:c r="D23" s="68"/>
      <x:c r="E23" s="68"/>
      <x:c r="F23" s="68"/>
    </x:row>
    <x:row r="25" ht="24" customHeight="1">
      <x:c r="A25" s="55" t="str">
        <x:v>RELEVANCE DECISION RULE</x:v>
      </x:c>
      <x:c r="B25" s="55"/>
      <x:c r="C25" s="55"/>
      <x:c r="D25" s="55"/>
      <x:c r="E25" s="55"/>
      <x:c r="F25" s="55"/>
    </x:row>
    <x:row r="26" ht="54" customHeight="1">
      <x:c r="A26" s="61" t="str">
        <x:v>Keep for further review when</x:v>
      </x:c>
      <x:c r="B26" s="61"/>
      <x:c r="C26" s="68" t="str">
        <x:v>The business is plausibly B2B SaaS, appears to fit the target size, a relevant decision-maker role can be confirmed, a specific business need is supported by public evidence, and permitted business information is available.</x:v>
      </x:c>
      <x:c r="D26" s="68"/>
      <x:c r="E26" s="68"/>
      <x:c r="F26" s="68"/>
    </x:row>
    <x:row r="27" ht="40" customHeight="1">
      <x:c r="A27" s="61" t="str">
        <x:v>Do not overstate</x:v>
      </x:c>
      <x:c r="B27" s="61"/>
      <x:c r="C27" s="68" t="str">
        <x:v>ICP fit is a prioritization aid, not evidence of purchase intent, budget, timing, or consent to be contacted.</x:v>
      </x:c>
      <x:c r="D27" s="68"/>
      <x:c r="E27" s="68"/>
      <x:c r="F27" s="68"/>
    </x:row>
  </x:sheetData>
  <x:mergeCells>
    <x:mergeCell ref="A1:F1"/>
    <x:mergeCell ref="A2:F2"/>
    <x:mergeCell ref="A4:F4"/>
    <x:mergeCell ref="A5:B5"/>
    <x:mergeCell ref="C5:F5"/>
    <x:mergeCell ref="A6:B6"/>
    <x:mergeCell ref="C6:F6"/>
    <x:mergeCell ref="A7:B7"/>
    <x:mergeCell ref="C7:F7"/>
    <x:mergeCell ref="A8:B8"/>
    <x:mergeCell ref="C8:F8"/>
    <x:mergeCell ref="A10:F10"/>
    <x:mergeCell ref="A11:B11"/>
    <x:mergeCell ref="C11:F11"/>
    <x:mergeCell ref="A12:B12"/>
    <x:mergeCell ref="C12:F12"/>
    <x:mergeCell ref="A13:B13"/>
    <x:mergeCell ref="C13:F13"/>
    <x:mergeCell ref="A15:F15"/>
    <x:mergeCell ref="A16:B16"/>
    <x:mergeCell ref="C16:F16"/>
    <x:mergeCell ref="A17:B17"/>
    <x:mergeCell ref="C17:F17"/>
    <x:mergeCell ref="A18:B18"/>
    <x:mergeCell ref="C18:F18"/>
    <x:mergeCell ref="A20:F20"/>
    <x:mergeCell ref="A21:B21"/>
    <x:mergeCell ref="C21:F21"/>
    <x:mergeCell ref="A22:B22"/>
    <x:mergeCell ref="C22:F22"/>
    <x:mergeCell ref="A23:B23"/>
    <x:mergeCell ref="C23:F23"/>
    <x:mergeCell ref="A25:F25"/>
    <x:mergeCell ref="A26:B26"/>
    <x:mergeCell ref="C26:F26"/>
    <x:mergeCell ref="A27:B27"/>
    <x:mergeCell ref="C27:F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4" hidden="0" customWidth="1"/>
  </x:cols>
  <x:sheetData>
    <x:row r="1" ht="32" customHeight="1">
      <x:c r="A1" s="51" t="str">
        <x:v>LEAD QUALIFICATION FRAMEWORK</x:v>
      </x:c>
      <x:c r="B1" s="51"/>
      <x:c r="C1" s="51"/>
      <x:c r="D1" s="51"/>
      <x:c r="E1" s="51"/>
      <x:c r="F1" s="51"/>
    </x:row>
    <x:row r="2" ht="34" customHeight="1">
      <x:c r="A2" s="13" t="str">
        <x:v>Illustrative prioritization rubric only. Scores do not indicate purchase intent. Score only after evidence is captured in a real research workflow.</x:v>
      </x:c>
      <x:c r="B2" s="13"/>
      <x:c r="C2" s="13"/>
      <x:c r="D2" s="13"/>
      <x:c r="E2" s="13"/>
      <x:c r="F2" s="13"/>
    </x:row>
    <x:row r="4" ht="38" customHeight="1">
      <x:c r="A4" s="22" t="str">
        <x:v>Criterion</x:v>
      </x:c>
      <x:c r="B4" s="22" t="str">
        <x:v>Max Points</x:v>
      </x:c>
      <x:c r="C4" s="22" t="str">
        <x:v>0 Points</x:v>
      </x:c>
      <x:c r="D4" s="22" t="str">
        <x:v>1 Point</x:v>
      </x:c>
      <x:c r="E4" s="22" t="str">
        <x:v>2 Points</x:v>
      </x:c>
      <x:c r="F4" s="22" t="str">
        <x:v>Evidence to Capture</x:v>
      </x:c>
    </x:row>
    <x:row r="5" ht="48" customHeight="1">
      <x:c r="A5" s="30" t="str">
        <x:v>Industry relevance</x:v>
      </x:c>
      <x:c r="B5" s="30" t="n">
        <x:v>2</x:v>
      </x:c>
      <x:c r="C5" s="30" t="str">
        <x:v>Not B2B SaaS / out of scope</x:v>
      </x:c>
      <x:c r="D5" s="30" t="str">
        <x:v>Software business; B2B status unclear</x:v>
      </x:c>
      <x:c r="E5" s="30" t="str">
        <x:v>Clearly B2B SaaS</x:v>
      </x:c>
      <x:c r="F5" s="30" t="str">
        <x:v>Official product or company description</x:v>
      </x:c>
    </x:row>
    <x:row r="6" ht="48" customHeight="1">
      <x:c r="A6" s="42" t="str">
        <x:v>Company size fit</x:v>
      </x:c>
      <x:c r="B6" s="42" t="n">
        <x:v>2</x:v>
      </x:c>
      <x:c r="C6" s="42" t="str">
        <x:v>Clearly outside target</x:v>
      </x:c>
      <x:c r="D6" s="42" t="str">
        <x:v>Size uncertain or borderline</x:v>
      </x:c>
      <x:c r="E6" s="42" t="str">
        <x:v>Small business / startup in target range</x:v>
      </x:c>
      <x:c r="F6" s="42" t="str">
        <x:v>Public team/about page or credible directory</x:v>
      </x:c>
    </x:row>
    <x:row r="7" ht="48" customHeight="1">
      <x:c r="A7" s="30" t="str">
        <x:v>Decision-maker role</x:v>
      </x:c>
      <x:c r="B7" s="30" t="n">
        <x:v>2</x:v>
      </x:c>
      <x:c r="C7" s="30" t="str">
        <x:v>No relevant role found</x:v>
      </x:c>
      <x:c r="D7" s="30" t="str">
        <x:v>Relevant role plausible but unconfirmed</x:v>
      </x:c>
      <x:c r="E7" s="30" t="str">
        <x:v>Current relevant role confirmed publicly</x:v>
      </x:c>
      <x:c r="F7" s="30" t="str">
        <x:v>Public professional / company source URL</x:v>
      </x:c>
    </x:row>
    <x:row r="8" ht="48" customHeight="1">
      <x:c r="A8" s="42" t="str">
        <x:v>Potential business need</x:v>
      </x:c>
      <x:c r="B8" s="42" t="n">
        <x:v>2</x:v>
      </x:c>
      <x:c r="C8" s="42" t="str">
        <x:v>No relevant need found</x:v>
      </x:c>
      <x:c r="D8" s="42" t="str">
        <x:v>Plausible hypothesis only</x:v>
      </x:c>
      <x:c r="E8" s="42" t="str">
        <x:v>Specific public evidence of relevant need</x:v>
      </x:c>
      <x:c r="F8" s="42" t="str">
        <x:v>Page, post, announcement, or job listing URL</x:v>
      </x:c>
    </x:row>
    <x:row r="9" ht="48" customHeight="1">
      <x:c r="A9" s="30" t="str">
        <x:v>Public business information</x:v>
      </x:c>
      <x:c r="B9" s="30" t="n">
        <x:v>2</x:v>
      </x:c>
      <x:c r="C9" s="30" t="str">
        <x:v>No reliable permitted information</x:v>
      </x:c>
      <x:c r="D9" s="30" t="str">
        <x:v>Partial information; more checks needed</x:v>
      </x:c>
      <x:c r="E9" s="30" t="str">
        <x:v>Legitimate public company information available</x:v>
      </x:c>
      <x:c r="F9" s="30" t="str">
        <x:v>Official business channel / permitted business contact source</x:v>
      </x:c>
    </x:row>
    <x:row r="12">
      <x:c r="A12" s="54" t="str">
        <x:v>ILLUSTRATIVE SCORING EXAMPLE — NOT A REAL PROSPECT</x:v>
      </x:c>
      <x:c r="B12" s="54"/>
      <x:c r="C12" s="54"/>
      <x:c r="D12" s="54"/>
      <x:c r="E12" s="54"/>
      <x:c r="F12" s="54"/>
    </x:row>
    <x:row r="13">
      <x:c r="A13" s="59" t="str">
        <x:v>Criterion</x:v>
      </x:c>
      <x:c r="B13" s="59" t="str">
        <x:v>Example score</x:v>
      </x:c>
      <x:c r="C13" s="59" t="str">
        <x:v>Maximum</x:v>
      </x:c>
      <x:c r="E13" s="74" t="str">
        <x:v>Classification bands</x:v>
      </x:c>
      <x:c r="F13" s="74"/>
    </x:row>
    <x:row r="14" ht="30" customHeight="1">
      <x:c r="A14" s="72" t="str">
        <x:v>Industry relevance</x:v>
      </x:c>
      <x:c r="B14" s="72" t="n">
        <x:v>2</x:v>
      </x:c>
      <x:c r="C14" s="72" t="n">
        <x:v>2</x:v>
      </x:c>
      <x:c r="E14" s="76" t="str">
        <x:v>8–10 points: High potential fit — requires verification</x:v>
      </x:c>
      <x:c r="F14" s="76"/>
    </x:row>
    <x:row r="15" ht="30" customHeight="1">
      <x:c r="A15" s="72" t="str">
        <x:v>Company size fit</x:v>
      </x:c>
      <x:c r="B15" s="72" t="n">
        <x:v>2</x:v>
      </x:c>
      <x:c r="C15" s="72" t="n">
        <x:v>2</x:v>
      </x:c>
      <x:c r="E15" s="76" t="str">
        <x:v>5–7 points: Possible fit — further research needed</x:v>
      </x:c>
      <x:c r="F15" s="76"/>
    </x:row>
    <x:row r="16" ht="30" customHeight="1">
      <x:c r="A16" s="72" t="str">
        <x:v>Decision-maker role</x:v>
      </x:c>
      <x:c r="B16" s="72" t="n">
        <x:v>1</x:v>
      </x:c>
      <x:c r="C16" s="72" t="n">
        <x:v>2</x:v>
      </x:c>
      <x:c r="E16" s="76" t="str">
        <x:v>0–4 points: Low fit — deprioritise</x:v>
      </x:c>
      <x:c r="F16" s="76"/>
    </x:row>
    <x:row r="17">
      <x:c r="A17" s="72" t="str">
        <x:v>Potential business need</x:v>
      </x:c>
      <x:c r="B17" s="72" t="n">
        <x:v>1</x:v>
      </x:c>
      <x:c r="C17" s="72" t="n">
        <x:v>2</x:v>
      </x:c>
    </x:row>
    <x:row r="18">
      <x:c r="A18" s="72" t="str">
        <x:v>Public business information</x:v>
      </x:c>
      <x:c r="B18" s="72" t="n">
        <x:v>1</x:v>
      </x:c>
      <x:c r="C18" s="72" t="n">
        <x:v>2</x:v>
      </x:c>
    </x:row>
    <x:row r="19" ht="30" customHeight="1">
      <x:c r="A19" s="13" t="str">
        <x:v>Total score</x:v>
      </x:c>
      <x:c r="B19" s="13" t="n">
        <x:f>SUM(B14:B18)</x:f>
        <x:v>7</x:v>
      </x:c>
      <x:c r="C19" s="13" t="n">
        <x:f>SUM(C14:C18)</x:f>
        <x:v>10</x:v>
      </x:c>
    </x:row>
    <x:row r="20" ht="30" customHeight="1">
      <x:c r="A20" s="13" t="str">
        <x:v>Illustrative classification</x:v>
      </x:c>
      <x:c r="B20" s="13" t="str">
        <x:f>IF(B19&gt;=8,"High potential fit — requires verification",IF(B19&gt;=5,"Possible fit — further research needed","Low fit — deprioritise"))</x:f>
        <x:v>Possible fit — further research needed</x:v>
      </x:c>
      <x:c r="C20" s="13"/>
    </x:row>
    <x:row r="23" ht="42" customHeight="1">
      <x:c r="A23" s="80" t="str">
        <x:v>Operational rule: record evidence and source first, then score. If evidence is missing, use 0 or 1 rather than assuming a positive signal. Re-check scores when evidence changes.</x:v>
      </x:c>
      <x:c r="B23" s="80"/>
      <x:c r="C23" s="80"/>
      <x:c r="D23" s="80"/>
      <x:c r="E23" s="80"/>
      <x:c r="F23" s="80"/>
    </x:row>
  </x:sheetData>
  <x:mergeCells>
    <x:mergeCell ref="A1:F1"/>
    <x:mergeCell ref="A2:F2"/>
    <x:mergeCell ref="A12:F12"/>
    <x:mergeCell ref="B20:C20"/>
    <x:mergeCell ref="E13:F13"/>
    <x:mergeCell ref="E14:F14"/>
    <x:mergeCell ref="E15:F15"/>
    <x:mergeCell ref="E16:F16"/>
    <x:mergeCell ref="A23:F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84" t="str">
        <x:v>NORTHFRAME STUDIO | B2B LEAD RESEARCH DASHBOARD</x:v>
      </x:c>
      <x:c r="B1" s="84"/>
      <x:c r="C1" s="84"/>
      <x:c r="D1" s="84"/>
      <x:c r="E1" s="84"/>
      <x:c r="F1" s="84"/>
      <x:c r="G1" s="84"/>
      <x:c r="H1" s="84"/>
    </x:row>
    <x:row r="2" ht="28" customHeight="1">
      <x:c r="A2" s="86" t="str">
        <x:v>FICTIONAL DEMONSTRATION DATASET | No real companies or contacts researched or verified</x:v>
      </x:c>
      <x:c r="B2" s="86"/>
      <x:c r="C2" s="86"/>
      <x:c r="D2" s="86"/>
      <x:c r="E2" s="86"/>
      <x:c r="F2" s="86"/>
      <x:c r="G2" s="86"/>
      <x:c r="H2" s="86"/>
    </x:row>
    <x:row r="4" ht="30" customHeight="1">
      <x:c r="A4" s="91" t="str">
        <x:v>TOTAL DEMO RECORDS</x:v>
      </x:c>
      <x:c r="B4" s="91"/>
      <x:c r="C4" s="91" t="str">
        <x:v>FICTIONAL RECORDS</x:v>
      </x:c>
      <x:c r="D4" s="91"/>
      <x:c r="E4" s="91" t="str">
        <x:v>VERIFIED REAL CONTACTS</x:v>
      </x:c>
      <x:c r="F4" s="91"/>
      <x:c r="G4" s="91" t="str">
        <x:v>REQUIRING REAL-WORLD RESEARCH</x:v>
      </x:c>
      <x:c r="H4" s="91"/>
    </x:row>
    <x:row r="5" ht="26" customHeight="1">
      <x:c r="A5" s="98" t="n">
        <x:f>COUNTA('PROSPECT DATABASE'!$B$5:$B$24)</x:f>
        <x:v>20</x:v>
      </x:c>
      <x:c r="B5" s="98"/>
      <x:c r="C5" s="98" t="n">
        <x:f>COUNTIF('PROSPECT DATABASE'!$O$5:$O$24,"DEMO DATA — NOT VERIFIED")</x:f>
        <x:v>20</x:v>
      </x:c>
      <x:c r="D5" s="98"/>
      <x:c r="E5" s="98" t="n">
        <x:f>COUNTIF('PROSPECT DATABASE'!$O$5:$O$24,"VERIFIED — REAL CONTACT")</x:f>
        <x:v>0</x:v>
      </x:c>
      <x:c r="F5" s="98"/>
      <x:c r="G5" s="98" t="n">
        <x:f>COUNTIF('PROSPECT DATABASE'!$O$5:$O$24,"DEMO DATA — NOT VERIFIED")</x:f>
        <x:v>20</x:v>
      </x:c>
      <x:c r="H5" s="98"/>
    </x:row>
    <x:row r="6" ht="26" customHeight="1">
      <x:c r="A6" s="98"/>
      <x:c r="B6" s="98"/>
      <x:c r="C6" s="98"/>
      <x:c r="D6" s="98"/>
      <x:c r="E6" s="98"/>
      <x:c r="F6" s="98"/>
      <x:c r="G6" s="98"/>
      <x:c r="H6" s="98"/>
    </x:row>
    <x:row r="7" ht="26" customHeight="1">
      <x:c r="A7" s="98"/>
      <x:c r="B7" s="98"/>
      <x:c r="C7" s="98"/>
      <x:c r="D7" s="98"/>
      <x:c r="E7" s="98"/>
      <x:c r="F7" s="98"/>
      <x:c r="G7" s="98"/>
      <x:c r="H7" s="98"/>
    </x:row>
    <x:row r="9" ht="25" customHeight="1">
      <x:c r="A9" s="55" t="str">
        <x:v>ILLUSTRATIVE LEAD-STATUS DISTRIBUTION</x:v>
      </x:c>
      <x:c r="B9" s="55"/>
      <x:c r="C9" s="55"/>
      <x:c r="D9" s="55"/>
      <x:c r="E9" s="55"/>
      <x:c r="F9" s="55"/>
      <x:c r="G9" s="55"/>
      <x:c r="H9" s="55"/>
    </x:row>
    <x:row r="11">
      <x:c r="A11" s="60" t="str">
        <x:v>Lead status (demo workflow)</x:v>
      </x:c>
      <x:c r="B11" s="60" t="str">
        <x:v>Record count</x:v>
      </x:c>
    </x:row>
    <x:row r="12" ht="25" customHeight="1">
      <x:c r="A12" s="72" t="str">
        <x:v>Not Started</x:v>
      </x:c>
      <x:c r="B12" s="102" t="n">
        <x:f>COUNTIF('PROSPECT DATABASE'!$N$5:$N$24,A12)</x:f>
        <x:v>5</x:v>
      </x:c>
    </x:row>
    <x:row r="13" ht="25" customHeight="1">
      <x:c r="A13" s="72" t="str">
        <x:v>Research Required</x:v>
      </x:c>
      <x:c r="B13" s="102" t="n">
        <x:f>COUNTIF('PROSPECT DATABASE'!$N$5:$N$24,A13)</x:f>
        <x:v>5</x:v>
      </x:c>
    </x:row>
    <x:row r="14" ht="25" customHeight="1">
      <x:c r="A14" s="72" t="str">
        <x:v>ICP Review</x:v>
      </x:c>
      <x:c r="B14" s="102" t="n">
        <x:f>COUNTIF('PROSPECT DATABASE'!$N$5:$N$24,A14)</x:f>
        <x:v>5</x:v>
      </x:c>
    </x:row>
    <x:row r="15" ht="25" customHeight="1">
      <x:c r="A15" s="72" t="str">
        <x:v>Verification Required</x:v>
      </x:c>
      <x:c r="B15" s="102" t="n">
        <x:f>COUNTIF('PROSPECT DATABASE'!$N$5:$N$24,A15)</x:f>
        <x:v>5</x:v>
      </x:c>
    </x:row>
    <x:row r="18">
      <x:c r="A18" s="54" t="str">
        <x:v>IMPORTANT INTERPRETATION</x:v>
      </x:c>
      <x:c r="B18" s="54"/>
      <x:c r="C18" s="54"/>
      <x:c r="D18" s="54"/>
      <x:c r="E18" s="54"/>
      <x:c r="F18" s="54"/>
      <x:c r="G18" s="54"/>
      <x:c r="H18" s="54"/>
    </x:row>
    <x:row r="19" ht="24" customHeight="1">
      <x:c r="A19" s="106" t="str">
        <x:v>All 20 rows are fictional and marked DEMO DATA — NOT VERIFIED. Lead-status categories simulate a possible workflow; they do not indicate completed research. Zero real contacts have been verified. ICP scores and need statements are illustrative only and are not evidence of purchase intent.</x:v>
      </x:c>
      <x:c r="B19" s="106"/>
      <x:c r="C19" s="106"/>
      <x:c r="D19" s="106"/>
      <x:c r="E19" s="106"/>
      <x:c r="F19" s="106"/>
      <x:c r="G19" s="106"/>
      <x:c r="H19" s="106"/>
    </x:row>
    <x:row r="20" ht="24" customHeight="1">
      <x:c r="A20" s="106"/>
      <x:c r="B20" s="106"/>
      <x:c r="C20" s="106"/>
      <x:c r="D20" s="106"/>
      <x:c r="E20" s="106"/>
      <x:c r="F20" s="106"/>
      <x:c r="G20" s="106"/>
      <x:c r="H20" s="106"/>
    </x:row>
    <x:row r="21" ht="24" customHeight="1">
      <x:c r="A21" s="106"/>
      <x:c r="B21" s="106"/>
      <x:c r="C21" s="106"/>
      <x:c r="D21" s="106"/>
      <x:c r="E21" s="106"/>
      <x:c r="F21" s="106"/>
      <x:c r="G21" s="106"/>
      <x:c r="H21" s="106"/>
    </x:row>
  </x:sheetData>
  <x:mergeCells>
    <x:mergeCell ref="A1:H1"/>
    <x:mergeCell ref="A2:H2"/>
    <x:mergeCell ref="A4:B4"/>
    <x:mergeCell ref="A5:B7"/>
    <x:mergeCell ref="C4:D4"/>
    <x:mergeCell ref="C5:D7"/>
    <x:mergeCell ref="E4:F4"/>
    <x:mergeCell ref="E5:F7"/>
    <x:mergeCell ref="G4:H4"/>
    <x:mergeCell ref="G5:H7"/>
    <x:mergeCell ref="A9:H9"/>
    <x:mergeCell ref="A18:H18"/>
    <x:mergeCell ref="A19:H21"/>
  </x:mergeCells>
  <x:pageMargins left="0.7" right="0.7" top="0.75" bottom="0.75" header="0.3" footer="0.3"/>
  <x:drawing xmlns:r="http://schemas.openxmlformats.org/officeDocument/2006/relationships" r:id="R13fe48b19c494919"/>
</x:worksheet>
</file>